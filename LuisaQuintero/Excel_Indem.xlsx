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imVilella\Desktop\"/>
    </mc:Choice>
  </mc:AlternateContent>
  <xr:revisionPtr revIDLastSave="0" documentId="8_{F7AD76A7-7BD4-4825-848B-778ACC372D2A}" xr6:coauthVersionLast="47" xr6:coauthVersionMax="47" xr10:uidLastSave="{00000000-0000-0000-0000-000000000000}"/>
  <bookViews>
    <workbookView xWindow="-108" yWindow="-108" windowWidth="23256" windowHeight="13896" xr2:uid="{62C2160C-762C-491E-BB02-32ABA1815814}"/>
  </bookViews>
  <sheets>
    <sheet name="Indem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" i="1" l="1"/>
  <c r="C19" i="1"/>
  <c r="C20" i="1"/>
  <c r="F16" i="1"/>
  <c r="F13" i="1"/>
  <c r="F14" i="1"/>
  <c r="F15" i="1"/>
  <c r="F12" i="1"/>
  <c r="I5" i="1"/>
  <c r="I6" i="1"/>
  <c r="I7" i="1"/>
  <c r="I8" i="1"/>
  <c r="I9" i="1"/>
  <c r="I10" i="1"/>
  <c r="I11" i="1"/>
  <c r="I12" i="1"/>
  <c r="I13" i="1"/>
  <c r="I14" i="1"/>
  <c r="I4" i="1"/>
  <c r="E15" i="1"/>
  <c r="E14" i="1"/>
  <c r="E12" i="1"/>
  <c r="E13" i="1"/>
  <c r="D6" i="1"/>
  <c r="D5" i="1"/>
  <c r="D4" i="1"/>
  <c r="D7" i="1" l="1"/>
</calcChain>
</file>

<file path=xl/sharedStrings.xml><?xml version="1.0" encoding="utf-8"?>
<sst xmlns="http://schemas.openxmlformats.org/spreadsheetml/2006/main" count="22" uniqueCount="19">
  <si>
    <t>Salari Base</t>
  </si>
  <si>
    <t>Plus Nocturnitat</t>
  </si>
  <si>
    <t>Mesos</t>
  </si>
  <si>
    <t>Total Anual</t>
  </si>
  <si>
    <t>Dies/Any</t>
  </si>
  <si>
    <t>Salari Base Diari</t>
  </si>
  <si>
    <t>Dies Any en Servei</t>
  </si>
  <si>
    <t>Període_1</t>
  </si>
  <si>
    <t>Període_2</t>
  </si>
  <si>
    <t>Període_3</t>
  </si>
  <si>
    <t>Període_4</t>
  </si>
  <si>
    <t>Dies</t>
  </si>
  <si>
    <t>Mesos Servei</t>
  </si>
  <si>
    <t>Data_I</t>
  </si>
  <si>
    <t>Data_F</t>
  </si>
  <si>
    <t>Període Núm.</t>
  </si>
  <si>
    <t>Dies Indem.</t>
  </si>
  <si>
    <t>Total Dies Indem.</t>
  </si>
  <si>
    <t>Total a percebre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</si>
</sst>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</cellStyleXfs>
  <cellXfs count="11">
    <xf numFmtId="0" fontId="0" fillId="0" borderId="0" xfId="0"/>
    <xf numFmtId="0" fontId="0" fillId="0" borderId="3" xfId="0" applyFont="1" applyBorder="1"/>
    <xf numFmtId="0" fontId="0" fillId="0" borderId="5" xfId="0" applyFont="1" applyBorder="1"/>
    <xf numFmtId="0" fontId="0" fillId="0" borderId="4" xfId="0" applyBorder="1"/>
    <xf numFmtId="0" fontId="3" fillId="3" borderId="2" xfId="3"/>
    <xf numFmtId="44" fontId="0" fillId="0" borderId="0" xfId="0" applyNumberFormat="1"/>
    <xf numFmtId="44" fontId="3" fillId="3" borderId="2" xfId="1" applyFont="1" applyFill="1" applyBorder="1"/>
    <xf numFmtId="44" fontId="2" fillId="2" borderId="1" xfId="2" applyNumberFormat="1"/>
    <xf numFmtId="0" fontId="2" fillId="2" borderId="1" xfId="2"/>
    <xf numFmtId="44" fontId="3" fillId="3" borderId="2" xfId="3" applyNumberFormat="1"/>
    <xf numFmtId="14" fontId="2" fillId="2" borderId="1" xfId="2" applyNumberFormat="1"/>
  </cellXfs>
  <cellStyles count="4">
    <cellStyle name="Entrada" xfId="2" builtinId="20"/>
    <cellStyle name="Moneda" xfId="1" builtinId="4"/>
    <cellStyle name="Normal" xfId="0" builtinId="0"/>
    <cellStyle name="Salida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2A0F-275D-4007-9DC9-15FF85489ABE}">
  <dimension ref="B2:I21"/>
  <sheetViews>
    <sheetView tabSelected="1" workbookViewId="0">
      <selection activeCell="G20" sqref="G20"/>
    </sheetView>
  </sheetViews>
  <sheetFormatPr baseColWidth="10" defaultRowHeight="14.4" x14ac:dyDescent="0.3"/>
  <cols>
    <col min="2" max="2" width="17" customWidth="1"/>
    <col min="3" max="3" width="10.77734375" bestFit="1" customWidth="1"/>
    <col min="4" max="4" width="11.77734375" bestFit="1" customWidth="1"/>
  </cols>
  <sheetData>
    <row r="2" spans="2:9" x14ac:dyDescent="0.3">
      <c r="B2" t="s">
        <v>4</v>
      </c>
      <c r="C2" s="8">
        <v>365</v>
      </c>
      <c r="H2" s="1" t="s">
        <v>2</v>
      </c>
      <c r="I2" s="2" t="s">
        <v>11</v>
      </c>
    </row>
    <row r="3" spans="2:9" x14ac:dyDescent="0.3">
      <c r="B3" t="s">
        <v>2</v>
      </c>
      <c r="C3">
        <v>12</v>
      </c>
      <c r="H3">
        <v>12</v>
      </c>
      <c r="I3" s="3">
        <v>20</v>
      </c>
    </row>
    <row r="4" spans="2:9" x14ac:dyDescent="0.3">
      <c r="B4" t="s">
        <v>0</v>
      </c>
      <c r="C4" s="7">
        <v>1500</v>
      </c>
      <c r="D4" s="9">
        <f>C4*$C$3</f>
        <v>18000</v>
      </c>
      <c r="H4">
        <v>11</v>
      </c>
      <c r="I4" s="3">
        <f>ROUND(H4*20/12,0)</f>
        <v>18</v>
      </c>
    </row>
    <row r="5" spans="2:9" x14ac:dyDescent="0.3">
      <c r="B5" t="s">
        <v>1</v>
      </c>
      <c r="C5" s="7">
        <v>100</v>
      </c>
      <c r="D5" s="9">
        <f>C5*$C$3</f>
        <v>1200</v>
      </c>
      <c r="H5">
        <v>10</v>
      </c>
      <c r="I5" s="3">
        <f t="shared" ref="I5:I14" si="0">ROUND(H5*20/12,0)</f>
        <v>17</v>
      </c>
    </row>
    <row r="6" spans="2:9" x14ac:dyDescent="0.3">
      <c r="B6" t="s">
        <v>3</v>
      </c>
      <c r="D6" s="9">
        <f>SUM(D4:D5)</f>
        <v>19200</v>
      </c>
      <c r="H6">
        <v>9</v>
      </c>
      <c r="I6" s="3">
        <f t="shared" si="0"/>
        <v>15</v>
      </c>
    </row>
    <row r="7" spans="2:9" x14ac:dyDescent="0.3">
      <c r="B7" t="s">
        <v>5</v>
      </c>
      <c r="D7" s="9">
        <f>D6/$C$2</f>
        <v>52.602739726027394</v>
      </c>
      <c r="H7">
        <v>8</v>
      </c>
      <c r="I7" s="3">
        <f t="shared" si="0"/>
        <v>13</v>
      </c>
    </row>
    <row r="8" spans="2:9" x14ac:dyDescent="0.3">
      <c r="H8">
        <v>7</v>
      </c>
      <c r="I8" s="3">
        <f t="shared" si="0"/>
        <v>12</v>
      </c>
    </row>
    <row r="9" spans="2:9" x14ac:dyDescent="0.3">
      <c r="B9" t="s">
        <v>6</v>
      </c>
      <c r="C9">
        <v>20</v>
      </c>
      <c r="H9">
        <v>6</v>
      </c>
      <c r="I9" s="3">
        <f t="shared" si="0"/>
        <v>10</v>
      </c>
    </row>
    <row r="10" spans="2:9" x14ac:dyDescent="0.3">
      <c r="H10">
        <v>5</v>
      </c>
      <c r="I10" s="3">
        <f t="shared" si="0"/>
        <v>8</v>
      </c>
    </row>
    <row r="11" spans="2:9" x14ac:dyDescent="0.3">
      <c r="B11" t="s">
        <v>15</v>
      </c>
      <c r="C11" t="s">
        <v>13</v>
      </c>
      <c r="D11" t="s">
        <v>14</v>
      </c>
      <c r="E11" t="s">
        <v>12</v>
      </c>
      <c r="F11" t="s">
        <v>16</v>
      </c>
      <c r="H11">
        <v>4</v>
      </c>
      <c r="I11" s="3">
        <f t="shared" si="0"/>
        <v>7</v>
      </c>
    </row>
    <row r="12" spans="2:9" x14ac:dyDescent="0.3">
      <c r="B12" t="s">
        <v>7</v>
      </c>
      <c r="C12" s="10">
        <v>45017</v>
      </c>
      <c r="D12" s="10">
        <v>45291</v>
      </c>
      <c r="E12">
        <f>MONTH(D12)-MONTH(C12)+1</f>
        <v>9</v>
      </c>
      <c r="F12">
        <f>_xlfn.XLOOKUP(E12,$H$3:$H$14,$I$3:$I$14,"",)</f>
        <v>15</v>
      </c>
      <c r="H12">
        <v>3</v>
      </c>
      <c r="I12" s="3">
        <f t="shared" si="0"/>
        <v>5</v>
      </c>
    </row>
    <row r="13" spans="2:9" x14ac:dyDescent="0.3">
      <c r="B13" t="s">
        <v>8</v>
      </c>
      <c r="C13" s="10">
        <v>45292</v>
      </c>
      <c r="D13" s="10">
        <v>45657</v>
      </c>
      <c r="E13">
        <f>MONTH(D13)-MONTH(C13)+1</f>
        <v>12</v>
      </c>
      <c r="F13">
        <f t="shared" ref="F13:F15" si="1">_xlfn.XLOOKUP(E13,$H$3:$H$14,$I$3:$I$14,"",)</f>
        <v>20</v>
      </c>
      <c r="H13">
        <v>2</v>
      </c>
      <c r="I13" s="3">
        <f t="shared" si="0"/>
        <v>3</v>
      </c>
    </row>
    <row r="14" spans="2:9" x14ac:dyDescent="0.3">
      <c r="B14" t="s">
        <v>9</v>
      </c>
      <c r="C14" s="10">
        <v>45658</v>
      </c>
      <c r="D14" s="10">
        <v>46022</v>
      </c>
      <c r="E14">
        <f>MONTH(D14)-MONTH(C14)+1</f>
        <v>12</v>
      </c>
      <c r="F14">
        <f t="shared" si="1"/>
        <v>20</v>
      </c>
      <c r="H14">
        <v>1</v>
      </c>
      <c r="I14" s="3">
        <f t="shared" si="0"/>
        <v>2</v>
      </c>
    </row>
    <row r="15" spans="2:9" x14ac:dyDescent="0.3">
      <c r="B15" t="s">
        <v>10</v>
      </c>
      <c r="C15" s="10">
        <v>45658</v>
      </c>
      <c r="D15" s="10">
        <v>46234</v>
      </c>
      <c r="E15">
        <f>MONTH(D15)-MONTH(C15)+1</f>
        <v>7</v>
      </c>
      <c r="F15">
        <f t="shared" si="1"/>
        <v>12</v>
      </c>
    </row>
    <row r="16" spans="2:9" x14ac:dyDescent="0.3">
      <c r="D16" t="s">
        <v>17</v>
      </c>
      <c r="F16" s="4">
        <f>SUM(F12:F15)</f>
        <v>67</v>
      </c>
    </row>
    <row r="19" spans="2:3" x14ac:dyDescent="0.3">
      <c r="B19" t="s">
        <v>5</v>
      </c>
      <c r="C19" s="5">
        <f>D7</f>
        <v>52.602739726027394</v>
      </c>
    </row>
    <row r="20" spans="2:3" x14ac:dyDescent="0.3">
      <c r="B20" t="s">
        <v>16</v>
      </c>
      <c r="C20">
        <f>F16</f>
        <v>67</v>
      </c>
    </row>
    <row r="21" spans="2:3" x14ac:dyDescent="0.3">
      <c r="B21" t="s">
        <v>18</v>
      </c>
      <c r="C21" s="6">
        <f>C19*C20</f>
        <v>3524.3835616438355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Indem.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Vilella Palomares</dc:creator>
  <cp:lastModifiedBy>Joaquim Vilella Palomares</cp:lastModifiedBy>
  <dcterms:created xsi:type="dcterms:W3CDTF">2026-05-16T19:23:19Z</dcterms:created>
  <dcterms:modified xsi:type="dcterms:W3CDTF">2026-05-16T19:59:27Z</dcterms:modified>
</cp:coreProperties>
</file>